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shadatopale/Downloads/"/>
    </mc:Choice>
  </mc:AlternateContent>
  <xr:revisionPtr revIDLastSave="269" documentId="13_ncr:1_{70118414-7838-9A40-9F22-126C36672992}" xr6:coauthVersionLast="47" xr6:coauthVersionMax="47" xr10:uidLastSave="{6C328FA0-2EE0-4473-B318-76CC7956A366}"/>
  <bookViews>
    <workbookView xWindow="100" yWindow="3580" windowWidth="27640" windowHeight="15640" firstSheet="1" activeTab="1" xr2:uid="{2ED63D37-65B8-644F-B9EB-D9FA1E9C0C69}"/>
  </bookViews>
  <sheets>
    <sheet name="About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</calcChain>
</file>

<file path=xl/sharedStrings.xml><?xml version="1.0" encoding="utf-8"?>
<sst xmlns="http://schemas.openxmlformats.org/spreadsheetml/2006/main" count="106" uniqueCount="93">
  <si>
    <t xml:space="preserve">Project NAME: </t>
  </si>
  <si>
    <t>Intern Letter Portal</t>
  </si>
  <si>
    <t>Project Team Members:</t>
  </si>
  <si>
    <t>Mr. Rashid Patel, Mr. Makarand Jena, Mr. Suraj Mane</t>
  </si>
  <si>
    <t>DOCUMENT NAME:</t>
  </si>
  <si>
    <t>Traceability Matrix</t>
  </si>
  <si>
    <t>CREATED ON:</t>
  </si>
  <si>
    <t>30-12-2025</t>
  </si>
  <si>
    <t>TRACEABILITY MATRIX</t>
  </si>
  <si>
    <t>PROJECT NAME</t>
  </si>
  <si>
    <t>TEST CASE COUNT</t>
  </si>
  <si>
    <t>DOCUMENT VERSION NUMBER</t>
  </si>
  <si>
    <t>PASSED</t>
  </si>
  <si>
    <t>PROJECT MANAGER</t>
  </si>
  <si>
    <t>Mrs. Harshada Topale</t>
  </si>
  <si>
    <t>FAILED</t>
  </si>
  <si>
    <t>EXECUTED BY</t>
  </si>
  <si>
    <t>Mr. Rashid Patel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</si>
  <si>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</si>
  <si>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</si>
  <si>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</si>
  <si>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</si>
  <si>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</si>
  <si>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</si>
  <si>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</si>
  <si>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</si>
  <si>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</si>
  <si>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Valid login with correct Email ID(username) &amp; Mobile Number(Password)</t>
  </si>
  <si>
    <t xml:space="preserve">Email ID - registered email while filling up the IAC Profile Form  Mobile Number - registered mobile no. while filling up the IAC Profile Form </t>
  </si>
  <si>
    <t>1.Open Intern Letter Portal
2.Enter valid Email ID
3.Enter valid Mobile Number
4.Click on “Sign In”</t>
  </si>
  <si>
    <t>User should be logged in successfully and dashboard should be displayed</t>
  </si>
  <si>
    <t>User logged in successfully and dashboard displayed</t>
  </si>
  <si>
    <t>Login functionality working as expected</t>
  </si>
  <si>
    <t>Login attempt with incorrect credentials</t>
  </si>
  <si>
    <t>Username - incorrect Email ID
Password -  incorrect mobile number</t>
  </si>
  <si>
    <t>1.Open Intern Letter Portal
2.Enter invalid Email ID or Mobile No.
3.Click on “Sign In”</t>
  </si>
  <si>
    <t>System should display error message “Invalid Email ID or Password”</t>
  </si>
  <si>
    <t>Error message displays correctly</t>
  </si>
  <si>
    <t>Invalid login handled properly</t>
  </si>
  <si>
    <t>New user opens Appointment Letter Web App</t>
  </si>
  <si>
    <t>Valid login credentials of a new intern</t>
  </si>
  <si>
    <t>1.Login to Intern Letter Portal
2.Click on “Generate Appointment Letter”</t>
  </si>
  <si>
    <t>GPI New Joinee Form should open for data entry</t>
  </si>
  <si>
    <t>New Joinee Form opened successfully</t>
  </si>
  <si>
    <t>New user flow working correctly</t>
  </si>
  <si>
    <t>Submit New Joinee Form to generate appointment letter</t>
  </si>
  <si>
    <t>Valid personal details and required documents</t>
  </si>
  <si>
    <t>1.Fill all mandatory fields in the form
2.Upload required documents
3.Click on “Generate Appointment Letter”</t>
  </si>
  <si>
    <t xml:space="preserve"> Appointment letter should be generated successfully</t>
  </si>
  <si>
    <t>Appointment letter generated successfully using download button</t>
  </si>
  <si>
    <t>PDF generation successful</t>
  </si>
  <si>
    <t>Download appointment letter after generation</t>
  </si>
  <si>
    <t>Generated appointment letter</t>
  </si>
  <si>
    <t>1.Click on “Download Appointment Letter” button
2.Save the PDF file automatically</t>
  </si>
  <si>
    <t>Appointment letter PDF should be downloaded</t>
  </si>
  <si>
    <t>PDF downloaded successfully</t>
  </si>
  <si>
    <t>Download working as expected</t>
  </si>
  <si>
    <t>Old user attempts to regenerate appointment letter</t>
  </si>
  <si>
    <t>Login credentials of an intern whose appointment letter is already generated</t>
  </si>
  <si>
    <t>Popup should appear indicating appointment letter already generated</t>
  </si>
  <si>
    <t>Popup displayed with correct message and buttons</t>
  </si>
  <si>
    <t>Re-generation restricted successfully</t>
  </si>
  <si>
    <t>Download appointment letter from modal popup</t>
  </si>
  <si>
    <t>Existing appointment letter URL</t>
  </si>
  <si>
    <t>1.Click “Download Appointment Letter” from popup
2.Download PDF</t>
  </si>
  <si>
    <t>Existing appointment letter should be downloaded</t>
  </si>
  <si>
    <t>Existing letter downloaded successfully</t>
  </si>
  <si>
    <t>Old user download flow verified</t>
  </si>
  <si>
    <t>Experience letter eligibility check</t>
  </si>
  <si>
    <t>Intern ID with verified status and eligibility = Yes</t>
  </si>
  <si>
    <t>1.Access Intern Letter Portal through secure login                                                                    2.Open Experience Letter Web App    
3.Enter Intern ID
4.Click Search</t>
  </si>
  <si>
    <t>Intern details should be displayed with download option</t>
  </si>
  <si>
    <t>Details displayed with download button</t>
  </si>
  <si>
    <t>Eligibility validation working</t>
  </si>
  <si>
    <t>Generate and download experience letter</t>
  </si>
  <si>
    <t>Valid Intern ID eligible for experience letter</t>
  </si>
  <si>
    <t>1.Login Portal through secure login                                                                                                            2.Click “Download Experience Letter” 
3.Wait for generation
4.Download PDF</t>
  </si>
  <si>
    <t>Experience letter PDF should be generated and downloaded</t>
  </si>
  <si>
    <t>Experience letter generated and downloaded successfully</t>
  </si>
  <si>
    <t>Experience letter generation verified</t>
  </si>
  <si>
    <t>Experience letter download for multiple domain</t>
  </si>
  <si>
    <t>Valid Intern ID eligible for multi-domain experience letter</t>
  </si>
  <si>
    <t xml:space="preserve">1.login Portal through secure login                                                                                                            2.Enter Valid Intern ID
3.Wait for generation
4.click download button </t>
  </si>
  <si>
    <t xml:space="preserve">Experience letter is available to download for muliple domain </t>
  </si>
  <si>
    <t>Multiple Experience letter are getting downloaded successfully based on sequence</t>
  </si>
  <si>
    <t>Multi-domain scenario working perfectly</t>
  </si>
  <si>
    <t>Security check for new user after submiting new joinee form</t>
  </si>
  <si>
    <t>Refreshing the page or copy pasting the url in another tab after downloading appointment letter.</t>
  </si>
  <si>
    <t>1.Login Portal using credentials                                                                                                           2.Click on "generate appointment letter" button
3.Fill all the repective fields of New Joinee Form
4.Generate &amp; Download the appointment letter                                    5. Refresh the page or copy-pasting the URL in other tab</t>
  </si>
  <si>
    <t xml:space="preserve">Appointment letter already generated page will appear with proper message  </t>
  </si>
  <si>
    <t>Appointment letter already generated page appeared successfully</t>
  </si>
  <si>
    <t>Robust security mechanism in working.</t>
  </si>
  <si>
    <t>Add columns above this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</si>
</sst>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horizontal="left" wrapText="1"/>
    </xf>
    <xf numFmtId="0" fontId="7" fillId="0" borderId="10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/>
    <tableColumn id="2" xr3:uid="{44494901-52D2-3C44-93A2-5C263EBD3805}" name="TEST CASE"/>
    <tableColumn id="3" xr3:uid="{B895A980-3627-7644-AA29-CBBE6751630F}" name="TEST INPUT DATA"/>
    <tableColumn id="4" xr3:uid="{2A41CD7F-B7C2-3B42-BDB8-03A56383D5A4}" name="TEST PROCEDURE"/>
    <tableColumn id="5" xr3:uid="{79C5BE52-870D-EC41-BB17-F4C073E7982C}" name="EXPECTED RESULT"/>
    <tableColumn id="6" xr3:uid="{26251717-A519-5C4D-A731-D86BA350A67D}" name="ACTUAL RESULT"/>
    <tableColumn id="7" xr3:uid="{1408CA5C-8392-A74F-A193-53EB7B07500C}" name="STATUS "/>
    <tableColumn id="8" xr3:uid="{A83549AD-D35E-B949-93D3-45284B25F010}" name="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C19" sqref="C19"/>
    </sheetView>
  </sheetViews>
  <sheetFormatPr defaultColWidth="11.42578125" defaultRowHeight="15"/>
  <cols>
    <col min="1" max="1" width="17.140625" customWidth="1"/>
    <col min="2" max="2" width="50" customWidth="1"/>
  </cols>
  <sheetData>
    <row r="1" spans="1:2">
      <c r="A1" s="21" t="s">
        <v>0</v>
      </c>
      <c r="B1" s="23" t="s">
        <v>1</v>
      </c>
    </row>
    <row r="2" spans="1:2" ht="30.75">
      <c r="A2" s="21" t="s">
        <v>2</v>
      </c>
      <c r="B2" s="23" t="s">
        <v>3</v>
      </c>
    </row>
    <row r="3" spans="1:2" ht="30.75">
      <c r="A3" s="21" t="s">
        <v>4</v>
      </c>
      <c r="B3" s="23" t="s">
        <v>5</v>
      </c>
    </row>
    <row r="4" spans="1:2">
      <c r="A4" s="22" t="s">
        <v>6</v>
      </c>
      <c r="B4" s="24" t="s">
        <v>7</v>
      </c>
    </row>
    <row r="5" spans="1:2">
      <c r="A5" s="32"/>
      <c r="B5" s="32"/>
    </row>
    <row r="6" spans="1:2">
      <c r="A6" s="32"/>
      <c r="B6" s="32"/>
    </row>
    <row r="7" spans="1:2">
      <c r="A7" s="32"/>
      <c r="B7" s="32"/>
    </row>
    <row r="8" spans="1:2">
      <c r="A8" s="32"/>
      <c r="B8" s="32"/>
    </row>
    <row r="9" spans="1:2">
      <c r="A9" s="32"/>
      <c r="B9" s="32"/>
    </row>
    <row r="10" spans="1:2">
      <c r="A10" s="32"/>
      <c r="B10" s="32"/>
    </row>
    <row r="11" spans="1:2">
      <c r="A11" s="32"/>
      <c r="B11" s="32"/>
    </row>
    <row r="14" spans="1:2">
      <c r="A14" s="11"/>
    </row>
    <row r="16" spans="1:2">
      <c r="A16" s="18"/>
    </row>
    <row r="17" spans="1:1">
      <c r="A17" s="18"/>
    </row>
    <row r="18" spans="1:1">
      <c r="A18" s="19"/>
    </row>
    <row r="19" spans="1:1">
      <c r="A19" s="18"/>
    </row>
    <row r="20" spans="1:1">
      <c r="A20" s="18"/>
    </row>
    <row r="21" spans="1:1">
      <c r="A21" s="18"/>
    </row>
    <row r="22" spans="1:1">
      <c r="A22" s="18"/>
    </row>
    <row r="23" spans="1:1">
      <c r="A23" s="18"/>
    </row>
    <row r="24" spans="1:1">
      <c r="A24" s="18"/>
    </row>
    <row r="25" spans="1:1">
      <c r="A25" s="18"/>
    </row>
    <row r="26" spans="1:1">
      <c r="A26" s="20"/>
    </row>
    <row r="27" spans="1:1">
      <c r="A27" s="18"/>
    </row>
    <row r="28" spans="1:1">
      <c r="A28" s="18"/>
    </row>
  </sheetData>
  <mergeCells count="1">
    <mergeCell ref="A5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topLeftCell="A19" workbookViewId="0">
      <selection activeCell="H21" sqref="H21"/>
    </sheetView>
  </sheetViews>
  <sheetFormatPr defaultColWidth="8.85546875" defaultRowHeight="15"/>
  <cols>
    <col min="1" max="1" width="2" customWidth="1"/>
    <col min="2" max="2" width="1.7109375" customWidth="1"/>
    <col min="3" max="3" width="11" customWidth="1"/>
    <col min="4" max="4" width="31.42578125" customWidth="1"/>
    <col min="5" max="5" width="46.85546875" customWidth="1"/>
    <col min="6" max="6" width="31.140625" customWidth="1"/>
    <col min="7" max="7" width="33.85546875" customWidth="1"/>
    <col min="8" max="8" width="34.42578125" customWidth="1"/>
    <col min="9" max="9" width="22" customWidth="1"/>
    <col min="10" max="10" width="37.42578125" bestFit="1" customWidth="1"/>
    <col min="11" max="11" width="3.140625" customWidth="1"/>
    <col min="12" max="12" width="3.7109375" customWidth="1"/>
  </cols>
  <sheetData>
    <row r="1" spans="2:11" ht="26.1">
      <c r="B1" s="1"/>
      <c r="C1" s="35" t="s">
        <v>8</v>
      </c>
      <c r="D1" s="36"/>
      <c r="E1" s="36"/>
      <c r="F1" s="36"/>
      <c r="G1" s="36"/>
      <c r="H1" s="36"/>
      <c r="I1" s="36"/>
      <c r="J1" s="36"/>
      <c r="K1" s="2"/>
    </row>
    <row r="2" spans="2:11" s="7" customFormat="1" ht="26.1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33" t="s">
        <v>9</v>
      </c>
      <c r="D3" s="33"/>
      <c r="E3" s="33"/>
      <c r="F3" s="34" t="s">
        <v>1</v>
      </c>
      <c r="G3" s="34"/>
      <c r="H3" s="34"/>
      <c r="I3" s="15" t="s">
        <v>10</v>
      </c>
      <c r="J3" s="9">
        <f>COUNT(Table120[SL.NO])</f>
        <v>11</v>
      </c>
      <c r="K3" s="10"/>
    </row>
    <row r="4" spans="2:11">
      <c r="B4" s="8"/>
      <c r="C4" s="33" t="s">
        <v>11</v>
      </c>
      <c r="D4" s="33"/>
      <c r="E4" s="33"/>
      <c r="F4" s="34">
        <v>1</v>
      </c>
      <c r="G4" s="34"/>
      <c r="H4" s="34"/>
      <c r="I4" s="15" t="s">
        <v>12</v>
      </c>
      <c r="J4" s="27">
        <f>COUNTIF(Table120[[STATUS ]],"PASSED")</f>
        <v>11</v>
      </c>
      <c r="K4" s="10"/>
    </row>
    <row r="5" spans="2:11">
      <c r="B5" s="8"/>
      <c r="C5" s="33" t="s">
        <v>13</v>
      </c>
      <c r="D5" s="33"/>
      <c r="E5" s="33"/>
      <c r="F5" s="34" t="s">
        <v>14</v>
      </c>
      <c r="G5" s="34"/>
      <c r="H5" s="34"/>
      <c r="I5" s="15" t="s">
        <v>15</v>
      </c>
      <c r="J5" s="9">
        <f>COUNTIF(Table120[[STATUS ]],"FAILED")</f>
        <v>0</v>
      </c>
      <c r="K5" s="10"/>
    </row>
    <row r="6" spans="2:11">
      <c r="B6" s="8"/>
      <c r="C6" s="33" t="s">
        <v>16</v>
      </c>
      <c r="D6" s="33"/>
      <c r="E6" s="33"/>
      <c r="F6" s="34" t="s">
        <v>17</v>
      </c>
      <c r="G6" s="34"/>
      <c r="H6" s="34"/>
      <c r="I6" s="15" t="s">
        <v>18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19</v>
      </c>
      <c r="D9" s="16" t="s">
        <v>20</v>
      </c>
      <c r="E9" s="16" t="s">
        <v>21</v>
      </c>
      <c r="F9" s="16" t="s">
        <v>22</v>
      </c>
      <c r="G9" s="16" t="s">
        <v>23</v>
      </c>
      <c r="H9" s="16" t="s">
        <v>24</v>
      </c>
      <c r="I9" s="16" t="s">
        <v>25</v>
      </c>
      <c r="J9" s="16" t="s">
        <v>26</v>
      </c>
      <c r="K9" s="10"/>
    </row>
    <row r="10" spans="2:11">
      <c r="B10" s="8"/>
      <c r="K10" s="10"/>
    </row>
    <row r="11" spans="2:11" s="26" customFormat="1" ht="75" customHeight="1">
      <c r="B11" s="28"/>
      <c r="C11" s="26">
        <v>1</v>
      </c>
      <c r="D11" s="26" t="s">
        <v>27</v>
      </c>
      <c r="E11" s="26" t="s">
        <v>28</v>
      </c>
      <c r="F11" s="26" t="s">
        <v>29</v>
      </c>
      <c r="G11" s="26" t="s">
        <v>30</v>
      </c>
      <c r="H11" s="26" t="s">
        <v>31</v>
      </c>
      <c r="I11" s="26" t="s">
        <v>12</v>
      </c>
      <c r="J11" s="26" t="s">
        <v>32</v>
      </c>
      <c r="K11" s="29"/>
    </row>
    <row r="12" spans="2:11" s="26" customFormat="1" ht="74.25" customHeight="1">
      <c r="B12" s="28"/>
      <c r="C12" s="26">
        <v>2</v>
      </c>
      <c r="D12" s="26" t="s">
        <v>33</v>
      </c>
      <c r="E12" s="26" t="s">
        <v>34</v>
      </c>
      <c r="F12" s="26" t="s">
        <v>35</v>
      </c>
      <c r="G12" s="26" t="s">
        <v>36</v>
      </c>
      <c r="H12" s="26" t="s">
        <v>37</v>
      </c>
      <c r="I12" s="26" t="s">
        <v>12</v>
      </c>
      <c r="J12" s="26" t="s">
        <v>38</v>
      </c>
      <c r="K12" s="29"/>
    </row>
    <row r="13" spans="2:11" s="26" customFormat="1" ht="54.75" customHeight="1">
      <c r="B13" s="28"/>
      <c r="C13" s="30">
        <v>3</v>
      </c>
      <c r="D13" s="26" t="s">
        <v>39</v>
      </c>
      <c r="E13" s="31" t="s">
        <v>40</v>
      </c>
      <c r="F13" s="26" t="s">
        <v>41</v>
      </c>
      <c r="G13" s="26" t="s">
        <v>42</v>
      </c>
      <c r="H13" s="26" t="s">
        <v>43</v>
      </c>
      <c r="I13" s="26" t="s">
        <v>12</v>
      </c>
      <c r="J13" s="26" t="s">
        <v>44</v>
      </c>
      <c r="K13" s="29"/>
    </row>
    <row r="14" spans="2:11" s="26" customFormat="1" ht="82.5" customHeight="1">
      <c r="B14" s="28"/>
      <c r="C14" s="26">
        <v>4</v>
      </c>
      <c r="D14" s="26" t="s">
        <v>45</v>
      </c>
      <c r="E14" s="26" t="s">
        <v>46</v>
      </c>
      <c r="F14" s="26" t="s">
        <v>47</v>
      </c>
      <c r="G14" s="26" t="s">
        <v>48</v>
      </c>
      <c r="H14" s="26" t="s">
        <v>49</v>
      </c>
      <c r="I14" s="26" t="s">
        <v>12</v>
      </c>
      <c r="J14" s="26" t="s">
        <v>50</v>
      </c>
      <c r="K14" s="29"/>
    </row>
    <row r="15" spans="2:11" s="26" customFormat="1" ht="54.75" customHeight="1">
      <c r="B15" s="28"/>
      <c r="C15" s="26">
        <v>5</v>
      </c>
      <c r="D15" s="26" t="s">
        <v>51</v>
      </c>
      <c r="E15" s="26" t="s">
        <v>52</v>
      </c>
      <c r="F15" s="26" t="s">
        <v>53</v>
      </c>
      <c r="G15" s="26" t="s">
        <v>54</v>
      </c>
      <c r="H15" s="26" t="s">
        <v>55</v>
      </c>
      <c r="I15" s="26" t="s">
        <v>12</v>
      </c>
      <c r="J15" s="26" t="s">
        <v>56</v>
      </c>
      <c r="K15" s="29"/>
    </row>
    <row r="16" spans="2:11" s="26" customFormat="1" ht="60" customHeight="1">
      <c r="B16" s="28"/>
      <c r="C16" s="26">
        <v>6</v>
      </c>
      <c r="D16" s="26" t="s">
        <v>57</v>
      </c>
      <c r="E16" s="26" t="s">
        <v>58</v>
      </c>
      <c r="F16" s="26" t="s">
        <v>41</v>
      </c>
      <c r="G16" s="26" t="s">
        <v>59</v>
      </c>
      <c r="H16" s="26" t="s">
        <v>60</v>
      </c>
      <c r="I16" s="26" t="s">
        <v>12</v>
      </c>
      <c r="J16" s="26" t="s">
        <v>61</v>
      </c>
      <c r="K16" s="29"/>
    </row>
    <row r="17" spans="2:11" s="26" customFormat="1" ht="45.75">
      <c r="B17" s="28"/>
      <c r="C17" s="26">
        <v>7</v>
      </c>
      <c r="D17" s="26" t="s">
        <v>62</v>
      </c>
      <c r="E17" s="26" t="s">
        <v>63</v>
      </c>
      <c r="F17" s="26" t="s">
        <v>64</v>
      </c>
      <c r="G17" s="26" t="s">
        <v>65</v>
      </c>
      <c r="H17" s="26" t="s">
        <v>66</v>
      </c>
      <c r="I17" s="26" t="s">
        <v>12</v>
      </c>
      <c r="J17" s="26" t="s">
        <v>67</v>
      </c>
      <c r="K17" s="29"/>
    </row>
    <row r="18" spans="2:11" s="26" customFormat="1" ht="80.25" customHeight="1">
      <c r="B18" s="28"/>
      <c r="C18" s="26">
        <v>8</v>
      </c>
      <c r="D18" s="26" t="s">
        <v>68</v>
      </c>
      <c r="E18" s="26" t="s">
        <v>69</v>
      </c>
      <c r="F18" s="26" t="s">
        <v>70</v>
      </c>
      <c r="G18" s="26" t="s">
        <v>71</v>
      </c>
      <c r="H18" s="26" t="s">
        <v>72</v>
      </c>
      <c r="I18" s="26" t="s">
        <v>12</v>
      </c>
      <c r="J18" s="26" t="s">
        <v>73</v>
      </c>
      <c r="K18" s="29"/>
    </row>
    <row r="19" spans="2:11" s="26" customFormat="1" ht="88.5" customHeight="1">
      <c r="B19" s="28"/>
      <c r="C19" s="26">
        <v>9</v>
      </c>
      <c r="D19" s="26" t="s">
        <v>74</v>
      </c>
      <c r="E19" s="26" t="s">
        <v>75</v>
      </c>
      <c r="F19" s="26" t="s">
        <v>76</v>
      </c>
      <c r="G19" s="26" t="s">
        <v>77</v>
      </c>
      <c r="H19" s="26" t="s">
        <v>78</v>
      </c>
      <c r="I19" s="26" t="s">
        <v>12</v>
      </c>
      <c r="J19" s="26" t="s">
        <v>79</v>
      </c>
      <c r="K19" s="29"/>
    </row>
    <row r="20" spans="2:11" s="26" customFormat="1" ht="75.75" customHeight="1">
      <c r="B20" s="28"/>
      <c r="C20" s="26">
        <v>10</v>
      </c>
      <c r="D20" s="26" t="s">
        <v>80</v>
      </c>
      <c r="E20" s="26" t="s">
        <v>81</v>
      </c>
      <c r="F20" s="26" t="s">
        <v>82</v>
      </c>
      <c r="G20" s="26" t="s">
        <v>83</v>
      </c>
      <c r="H20" s="26" t="s">
        <v>84</v>
      </c>
      <c r="I20" s="26" t="s">
        <v>12</v>
      </c>
      <c r="J20" s="26" t="s">
        <v>85</v>
      </c>
      <c r="K20" s="29"/>
    </row>
    <row r="21" spans="2:11" s="26" customFormat="1" ht="146.25" customHeight="1">
      <c r="B21" s="28"/>
      <c r="C21" s="26">
        <v>11</v>
      </c>
      <c r="D21" s="26" t="s">
        <v>86</v>
      </c>
      <c r="E21" s="26" t="s">
        <v>87</v>
      </c>
      <c r="F21" s="26" t="s">
        <v>88</v>
      </c>
      <c r="G21" s="26" t="s">
        <v>89</v>
      </c>
      <c r="H21" s="26" t="s">
        <v>90</v>
      </c>
      <c r="I21" s="26" t="s">
        <v>12</v>
      </c>
      <c r="J21" s="26" t="s">
        <v>91</v>
      </c>
      <c r="K21" s="29"/>
    </row>
    <row r="22" spans="2:11">
      <c r="B22" s="8"/>
      <c r="C22" s="25"/>
      <c r="D22" s="25"/>
      <c r="E22" s="25"/>
      <c r="F22" s="25"/>
      <c r="G22" s="25"/>
      <c r="H22" s="25"/>
      <c r="I22" s="25"/>
      <c r="J22" s="25"/>
      <c r="K22" s="10"/>
    </row>
    <row r="23" spans="2:11">
      <c r="B23" s="8"/>
      <c r="C23" s="25"/>
      <c r="D23" s="25"/>
      <c r="E23" s="25"/>
      <c r="F23" s="25"/>
      <c r="G23" s="25"/>
      <c r="H23" s="25"/>
      <c r="I23" s="25"/>
      <c r="J23" s="25"/>
      <c r="K23" s="10"/>
    </row>
    <row r="24" spans="2:11">
      <c r="B24" s="8"/>
      <c r="C24" s="25"/>
      <c r="D24" s="25"/>
      <c r="E24" s="25"/>
      <c r="F24" s="25"/>
      <c r="G24" s="25"/>
      <c r="H24" s="25"/>
      <c r="I24" s="25"/>
      <c r="J24" s="25"/>
      <c r="K24" s="10"/>
    </row>
    <row r="25" spans="2:11">
      <c r="B25" s="8"/>
      <c r="C25" s="25"/>
      <c r="D25" s="25"/>
      <c r="E25" s="25"/>
      <c r="F25" s="25"/>
      <c r="G25" s="25"/>
      <c r="H25" s="25"/>
      <c r="I25" s="25"/>
      <c r="J25" s="25"/>
      <c r="K25" s="10"/>
    </row>
    <row r="26" spans="2:11">
      <c r="B26" s="8"/>
      <c r="C26" s="25"/>
      <c r="D26" s="25"/>
      <c r="E26" s="25"/>
      <c r="F26" s="25"/>
      <c r="G26" s="25"/>
      <c r="H26" s="25"/>
      <c r="I26" s="25"/>
      <c r="J26" s="25"/>
      <c r="K26" s="10"/>
    </row>
    <row r="27" spans="2:11">
      <c r="B27" s="8"/>
      <c r="C27" s="25"/>
      <c r="D27" s="25"/>
      <c r="E27" s="25"/>
      <c r="F27" s="25"/>
      <c r="G27" s="25"/>
      <c r="H27" s="25"/>
      <c r="I27" s="25"/>
      <c r="J27" s="25"/>
      <c r="K27" s="10"/>
    </row>
    <row r="28" spans="2:11">
      <c r="B28" s="8"/>
      <c r="C28" s="25"/>
      <c r="D28" s="25"/>
      <c r="E28" s="25"/>
      <c r="F28" s="25"/>
      <c r="G28" s="25"/>
      <c r="H28" s="25"/>
      <c r="I28" s="25"/>
      <c r="J28" s="25"/>
      <c r="K28" s="10"/>
    </row>
    <row r="29" spans="2:11">
      <c r="B29" s="8"/>
      <c r="C29" s="25"/>
      <c r="D29" s="25"/>
      <c r="E29" s="25"/>
      <c r="F29" s="25"/>
      <c r="G29" s="25"/>
      <c r="H29" s="25"/>
      <c r="I29" s="25"/>
      <c r="J29" s="25"/>
      <c r="K29" s="10"/>
    </row>
    <row r="30" spans="2:11">
      <c r="B30" s="8"/>
      <c r="C30" s="25"/>
      <c r="D30" s="25"/>
      <c r="E30" s="25"/>
      <c r="F30" s="25"/>
      <c r="G30" s="25"/>
      <c r="H30" s="25"/>
      <c r="I30" s="25"/>
      <c r="J30" s="25"/>
      <c r="K30" s="10"/>
    </row>
    <row r="31" spans="2:11">
      <c r="B31" s="8"/>
      <c r="C31" s="17" t="s">
        <v>92</v>
      </c>
      <c r="D31" s="17"/>
      <c r="E31" s="17"/>
      <c r="F31" s="17"/>
      <c r="G31" s="17"/>
      <c r="H31" s="17"/>
      <c r="I31" s="17"/>
      <c r="J31" s="17"/>
      <c r="K31" s="10"/>
    </row>
    <row r="32" spans="2:11" ht="15.9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1A4D081E66024B8E1512D3094C3B08" ma:contentTypeVersion="14" ma:contentTypeDescription="Create a new document." ma:contentTypeScope="" ma:versionID="445aa13812986f8ccb06d30ee1a88901">
  <xsd:schema xmlns:xsd="http://www.w3.org/2001/XMLSchema" xmlns:xs="http://www.w3.org/2001/XMLSchema" xmlns:p="http://schemas.microsoft.com/office/2006/metadata/properties" xmlns:ns2="ce320b12-d590-4005-9d51-304c9b20c4b2" xmlns:ns3="7cf18b58-3901-44ff-9636-ac55513c4f63" targetNamespace="http://schemas.microsoft.com/office/2006/metadata/properties" ma:root="true" ma:fieldsID="75d5283c03430384914da5d6cf1e416c" ns2:_="" ns3:_="">
    <xsd:import namespace="ce320b12-d590-4005-9d51-304c9b20c4b2"/>
    <xsd:import namespace="7cf18b58-3901-44ff-9636-ac55513c4f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20b12-d590-4005-9d51-304c9b20c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18b58-3901-44ff-9636-ac55513c4f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320b12-d590-4005-9d51-304c9b20c4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1EB76-0848-4C14-9FB9-E6CA90D8F2EE}"/>
</file>

<file path=customXml/itemProps2.xml><?xml version="1.0" encoding="utf-8"?>
<ds:datastoreItem xmlns:ds="http://schemas.openxmlformats.org/officeDocument/2006/customXml" ds:itemID="{838FCAD9-77A3-44E3-915C-D4AA0E839712}"/>
</file>

<file path=customXml/itemProps3.xml><?xml version="1.0" encoding="utf-8"?>
<ds:datastoreItem xmlns:ds="http://schemas.openxmlformats.org/officeDocument/2006/customXml" ds:itemID="{7491E45A-FA5E-4A14-A6E2-317B7BB657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Makarand Jena</cp:lastModifiedBy>
  <cp:revision/>
  <dcterms:created xsi:type="dcterms:W3CDTF">2023-08-18T02:43:40Z</dcterms:created>
  <dcterms:modified xsi:type="dcterms:W3CDTF">2025-12-31T05:52:27Z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0x010100E61A4D081E66024B8E1512D3094C3B08</vt:lpwstr>
  </property>
  <property fmtid="{D5CDD505-2E9C-101B-9397-08002B2CF9AE}" pid="3" name="MediaServiceImageTags">
    <vt:lpwstr/>
  </property>
</Properties>
</file>