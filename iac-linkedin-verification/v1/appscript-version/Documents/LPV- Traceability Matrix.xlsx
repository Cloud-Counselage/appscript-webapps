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i\OneDrive\Documents\"/>
    </mc:Choice>
  </mc:AlternateContent>
  <xr:revisionPtr revIDLastSave="0" documentId="13_ncr:1_{203D78D8-5437-4720-B259-B552E9EF89F9}" xr6:coauthVersionLast="47" xr6:coauthVersionMax="47" xr10:uidLastSave="{00000000-0000-0000-0000-000000000000}"/>
  <bookViews>
    <workbookView xWindow="-108" yWindow="-108" windowWidth="23256" windowHeight="12456" activeTab="1" xr2:uid="{2ED63D37-65B8-644F-B9EB-D9FA1E9C0C69}"/>
  </bookViews>
  <sheets>
    <sheet name="About" sheetId="3" r:id="rId1"/>
    <sheet name="TRACEABILITY MATRIX" sheetId="1" r:id="rId2"/>
    <sheet name="Sheet1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J4" i="1"/>
  <c r="J3" i="1"/>
</calcChain>
</file>

<file path=xl/sharedStrings.xml><?xml version="1.0" encoding="utf-8"?>
<sst xmlns="http://schemas.openxmlformats.org/spreadsheetml/2006/main" count="238" uniqueCount="117">
  <si>
    <t xml:space="preserve">Project NAME: </t>
  </si>
  <si>
    <t>Project Team Members:</t>
  </si>
  <si>
    <t>DOCUMENT NAME:</t>
  </si>
  <si>
    <t>Traceability Matrix</t>
  </si>
  <si>
    <t>CREATED ON:</t>
  </si>
  <si>
    <t>TRACEABILITY MATRIX</t>
  </si>
  <si>
    <t>PROJECT NAME</t>
  </si>
  <si>
    <t>TEST CASE COUNT</t>
  </si>
  <si>
    <t>DOCUMENT VERSION NUMBER</t>
  </si>
  <si>
    <t>PASSED</t>
  </si>
  <si>
    <t>PROJECT MANAGER</t>
  </si>
  <si>
    <t>Mrs. Harshada Topale</t>
  </si>
  <si>
    <t>FAILED</t>
  </si>
  <si>
    <t>EXECUTED BY</t>
  </si>
  <si>
    <t>Mr. Rashid Patel</t>
  </si>
  <si>
    <t>SKIPPED</t>
  </si>
  <si>
    <t>SL.NO</t>
  </si>
  <si>
    <t>TEST CASE</t>
  </si>
  <si>
    <t>TEST INPUT DATA</t>
  </si>
  <si>
    <t>TEST PROCEDURE</t>
  </si>
  <si>
    <t>EXPECTED RESULT</t>
  </si>
  <si>
    <t>ACTUAL RESULT</t>
  </si>
  <si>
    <t xml:space="preserve">STATUS </t>
  </si>
  <si>
    <t>COMMENTS</t>
  </si>
  <si>
    <t>Mr. Rashid Patel, Mr. Makarand Jena, Mr. Anshu Mani, Mr.Vinith Christopher</t>
  </si>
  <si>
    <t>Linked In Post Tracking System</t>
  </si>
  <si>
    <t>STATUS</t>
  </si>
  <si>
    <t>Load application UI</t>
  </si>
  <si>
    <t>Open app URL</t>
  </si>
  <si>
    <t>Launch application in browser</t>
  </si>
  <si>
    <t>Form loads successfully</t>
  </si>
  <si>
    <t>Form displayed correctly</t>
  </si>
  <si>
    <t>Pass</t>
  </si>
  <si>
    <t>UI working</t>
  </si>
  <si>
    <t>New user submission</t>
  </si>
  <si>
    <t>Valid name, email, ID</t>
  </si>
  <si>
    <t>Fill form and submit</t>
  </si>
  <si>
    <t>Submission accepted</t>
  </si>
  <si>
    <t>Data saved in sheet</t>
  </si>
  <si>
    <t>Working fine</t>
  </si>
  <si>
    <t>Existing user detection</t>
  </si>
  <si>
    <t>Existing email</t>
  </si>
  <si>
    <t>Enter email and blur</t>
  </si>
  <si>
    <t>Edit response option shown</t>
  </si>
  <si>
    <t>Popup displayed</t>
  </si>
  <si>
    <t>Correct behavior</t>
  </si>
  <si>
    <t>Edit existing response</t>
  </si>
  <si>
    <t>Existing user data</t>
  </si>
  <si>
    <t>Click edit button</t>
  </si>
  <si>
    <t>Form auto-filled</t>
  </si>
  <si>
    <t>Data loaded correctly</t>
  </si>
  <si>
    <t>Edit mode working</t>
  </si>
  <si>
    <t>Invalid LinkedIn URL</t>
  </si>
  <si>
    <t>Random text / wrong URL</t>
  </si>
  <si>
    <t>Click verify pledge</t>
  </si>
  <si>
    <t>Error message shown</t>
  </si>
  <si>
    <t>Alert displayed</t>
  </si>
  <si>
    <t>Validation working</t>
  </si>
  <si>
    <t>Valid LinkedIn URL</t>
  </si>
  <si>
    <t>Proper LinkedIn post URL</t>
  </si>
  <si>
    <t>URL accepted</t>
  </si>
  <si>
    <t>Verified status shown</t>
  </si>
  <si>
    <t>Correct validation</t>
  </si>
  <si>
    <t>Invalid pledge content</t>
  </si>
  <si>
    <t>Missing hashtags / short text</t>
  </si>
  <si>
    <t>Verify pledge</t>
  </si>
  <si>
    <t>Validation fails</t>
  </si>
  <si>
    <t>Alert shown</t>
  </si>
  <si>
    <t>Content check working</t>
  </si>
  <si>
    <t>Duplicate pledge submission</t>
  </si>
  <si>
    <t>Same intern ID / URL</t>
  </si>
  <si>
    <t>Duplicate error shown</t>
  </si>
  <si>
    <t>Error displayed</t>
  </si>
  <si>
    <t>Duplicate prevention</t>
  </si>
  <si>
    <t>Industry verification success</t>
  </si>
  <si>
    <t>Valid URL + content</t>
  </si>
  <si>
    <t>Click verify industry</t>
  </si>
  <si>
    <t>Button turns green</t>
  </si>
  <si>
    <t>Working properly</t>
  </si>
  <si>
    <t>Industry duplicate check</t>
  </si>
  <si>
    <t>Existing industry URL</t>
  </si>
  <si>
    <t>Verify again</t>
  </si>
  <si>
    <t>Duplicate prevented</t>
  </si>
  <si>
    <t>Error shown</t>
  </si>
  <si>
    <t>Correct logic</t>
  </si>
  <si>
    <t>Submit without verification</t>
  </si>
  <si>
    <t>No industry verified</t>
  </si>
  <si>
    <t>Click submit</t>
  </si>
  <si>
    <t>Submission blocked</t>
  </si>
  <si>
    <t>Validation enforced</t>
  </si>
  <si>
    <t>Successful submission</t>
  </si>
  <si>
    <t>All valid data</t>
  </si>
  <si>
    <t>Submit form</t>
  </si>
  <si>
    <t>Success screen shown</t>
  </si>
  <si>
    <t>Success UI displayed</t>
  </si>
  <si>
    <t>Working</t>
  </si>
  <si>
    <t>Edit and update submission</t>
  </si>
  <si>
    <t>Modified data</t>
  </si>
  <si>
    <t>Submit in edit mode</t>
  </si>
  <si>
    <t>Data updated</t>
  </si>
  <si>
    <t>Sheet updated</t>
  </si>
  <si>
    <t>Update working</t>
  </si>
  <si>
    <t>Backend data storage</t>
  </si>
  <si>
    <t>Valid submission</t>
  </si>
  <si>
    <t>Data stored in sheet</t>
  </si>
  <si>
    <t>Entry visible in sheet</t>
  </si>
  <si>
    <t>Data integrity maintained</t>
  </si>
  <si>
    <t>API response handling</t>
  </si>
  <si>
    <t>Valid request</t>
  </si>
  <si>
    <t>No errors in console</t>
  </si>
  <si>
    <t>Smooth execution</t>
  </si>
  <si>
    <t>Stable</t>
  </si>
  <si>
    <t>Error handling (network/API)</t>
  </si>
  <si>
    <t>Invalid API call</t>
  </si>
  <si>
    <t>Handled properly</t>
  </si>
  <si>
    <t>Correct Validation</t>
  </si>
  <si>
    <t>Linked In Post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</si>
</sst>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rgb="FF273755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7313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rgb="FF3DA5D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4" xfId="0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/>
    <xf numFmtId="0" fontId="0" fillId="2" borderId="0" xfId="0" applyFill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4" borderId="6" xfId="0" applyFont="1" applyFill="1" applyBorder="1"/>
    <xf numFmtId="0" fontId="3" fillId="5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/>
    <xf numFmtId="0" fontId="0" fillId="0" borderId="0" xfId="0" applyAlignment="1">
      <alignment horizontal="left" wrapText="1"/>
    </xf>
    <xf numFmtId="0" fontId="6" fillId="0" borderId="10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0" fillId="0" borderId="10" xfId="0" applyBorder="1"/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4" fillId="0" borderId="0" xfId="0" applyFont="1" applyAlignment="1">
      <alignment vertical="center" wrapText="1"/>
    </xf>
    <xf numFmtId="14" fontId="0" fillId="0" borderId="11" xfId="0" applyNumberFormat="1" applyBorder="1" applyAlignment="1">
      <alignment horizontal="left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6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0" xfId="0" applyBorder="1" applyAlignment="1">
      <alignment vertical="center" wrapText="1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3DA5D9"/>
        </patternFill>
      </fill>
    </dxf>
  </dxfs>
  <tableStyles count="0" defaultTableStyle="TableStyleMedium2" defaultPivotStyle="PivotStyleLight16"/>
  <colors>
    <mruColors>
      <color rgb="FF273755"/>
      <color rgb="FF3DA5D9"/>
      <color rgb="FF3AD5D9"/>
      <color rgb="FFFEC601"/>
      <color rgb="FFFCE601"/>
      <color rgb="FFEA7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AE636-D92B-6543-A2D8-F235CDB97954}" name="Table120" displayName="Table120" ref="C9:J23" totalsRowShown="0" headerRowDxfId="0">
  <autoFilter ref="C9:J23" xr:uid="{53BFDE25-0CB2-427A-9EA0-80C4CB555F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E279A7B-108E-714A-A416-5EC028F6CC54}" name="SL.NO"/>
    <tableColumn id="2" xr3:uid="{44494901-52D2-3C44-93A2-5C263EBD3805}" name="TEST CASE"/>
    <tableColumn id="3" xr3:uid="{B895A980-3627-7644-AA29-CBBE6751630F}" name="TEST INPUT DATA"/>
    <tableColumn id="4" xr3:uid="{2A41CD7F-B7C2-3B42-BDB8-03A56383D5A4}" name="TEST PROCEDURE"/>
    <tableColumn id="5" xr3:uid="{79C5BE52-870D-EC41-BB17-F4C073E7982C}" name="EXPECTED RESULT"/>
    <tableColumn id="6" xr3:uid="{26251717-A519-5C4D-A731-D86BA350A67D}" name="ACTUAL RESULT"/>
    <tableColumn id="7" xr3:uid="{1408CA5C-8392-A74F-A193-53EB7B07500C}" name="STATUS "/>
    <tableColumn id="8" xr3:uid="{A83549AD-D35E-B949-93D3-45284B25F010}" name="COMMENTS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3EA8-E937-F246-B70E-5565BE7D790F}">
  <dimension ref="A1:B28"/>
  <sheetViews>
    <sheetView workbookViewId="0">
      <selection activeCell="E15" sqref="E15"/>
    </sheetView>
  </sheetViews>
  <sheetFormatPr defaultColWidth="11.44140625" defaultRowHeight="14.4" x14ac:dyDescent="0.3"/>
  <cols>
    <col min="1" max="1" width="17.109375" customWidth="1"/>
    <col min="2" max="2" width="64.21875" bestFit="1" customWidth="1"/>
  </cols>
  <sheetData>
    <row r="1" spans="1:2" x14ac:dyDescent="0.3">
      <c r="A1" s="20" t="s">
        <v>0</v>
      </c>
      <c r="B1" s="22" t="s">
        <v>25</v>
      </c>
    </row>
    <row r="2" spans="1:2" ht="28.8" x14ac:dyDescent="0.3">
      <c r="A2" s="20" t="s">
        <v>1</v>
      </c>
      <c r="B2" s="22" t="s">
        <v>24</v>
      </c>
    </row>
    <row r="3" spans="1:2" ht="28.8" x14ac:dyDescent="0.3">
      <c r="A3" s="20" t="s">
        <v>2</v>
      </c>
      <c r="B3" s="22" t="s">
        <v>3</v>
      </c>
    </row>
    <row r="4" spans="1:2" x14ac:dyDescent="0.3">
      <c r="A4" s="21" t="s">
        <v>4</v>
      </c>
      <c r="B4" s="29">
        <v>46059</v>
      </c>
    </row>
    <row r="5" spans="1:2" x14ac:dyDescent="0.3">
      <c r="A5" s="37"/>
      <c r="B5" s="37"/>
    </row>
    <row r="6" spans="1:2" x14ac:dyDescent="0.3">
      <c r="A6" s="37"/>
      <c r="B6" s="37"/>
    </row>
    <row r="7" spans="1:2" x14ac:dyDescent="0.3">
      <c r="A7" s="37"/>
      <c r="B7" s="37"/>
    </row>
    <row r="8" spans="1:2" x14ac:dyDescent="0.3">
      <c r="A8" s="37"/>
      <c r="B8" s="37"/>
    </row>
    <row r="9" spans="1:2" x14ac:dyDescent="0.3">
      <c r="A9" s="37"/>
      <c r="B9" s="37"/>
    </row>
    <row r="10" spans="1:2" x14ac:dyDescent="0.3">
      <c r="A10" s="37"/>
      <c r="B10" s="37"/>
    </row>
    <row r="11" spans="1:2" x14ac:dyDescent="0.3">
      <c r="A11" s="37"/>
      <c r="B11" s="37"/>
    </row>
    <row r="14" spans="1:2" x14ac:dyDescent="0.3">
      <c r="A14" s="11"/>
    </row>
    <row r="16" spans="1:2" x14ac:dyDescent="0.3">
      <c r="A16" s="17"/>
    </row>
    <row r="17" spans="1:1" x14ac:dyDescent="0.3">
      <c r="A17" s="17"/>
    </row>
    <row r="18" spans="1:1" x14ac:dyDescent="0.3">
      <c r="A18" s="18"/>
    </row>
    <row r="19" spans="1:1" x14ac:dyDescent="0.3">
      <c r="A19" s="17"/>
    </row>
    <row r="20" spans="1:1" x14ac:dyDescent="0.3">
      <c r="A20" s="17"/>
    </row>
    <row r="21" spans="1:1" x14ac:dyDescent="0.3">
      <c r="A21" s="17"/>
    </row>
    <row r="22" spans="1:1" x14ac:dyDescent="0.3">
      <c r="A22" s="17"/>
    </row>
    <row r="23" spans="1:1" x14ac:dyDescent="0.3">
      <c r="A23" s="17"/>
    </row>
    <row r="24" spans="1:1" x14ac:dyDescent="0.3">
      <c r="A24" s="17"/>
    </row>
    <row r="25" spans="1:1" x14ac:dyDescent="0.3">
      <c r="A25" s="17"/>
    </row>
    <row r="26" spans="1:1" x14ac:dyDescent="0.3">
      <c r="A26" s="19"/>
    </row>
    <row r="27" spans="1:1" x14ac:dyDescent="0.3">
      <c r="A27" s="17"/>
    </row>
    <row r="28" spans="1:1" x14ac:dyDescent="0.3">
      <c r="A28" s="17"/>
    </row>
  </sheetData>
  <mergeCells count="1">
    <mergeCell ref="A5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ACFB-7301-504C-86AD-6CCAEB790C32}">
  <sheetPr>
    <tabColor theme="7" tint="0.59999389629810485"/>
  </sheetPr>
  <dimension ref="B1:K24"/>
  <sheetViews>
    <sheetView showGridLines="0" tabSelected="1" workbookViewId="0">
      <selection activeCell="G11" sqref="G11"/>
    </sheetView>
  </sheetViews>
  <sheetFormatPr defaultColWidth="8.88671875" defaultRowHeight="14.4" x14ac:dyDescent="0.3"/>
  <cols>
    <col min="1" max="1" width="2" customWidth="1"/>
    <col min="2" max="2" width="1.6640625" customWidth="1"/>
    <col min="3" max="3" width="11" customWidth="1"/>
    <col min="4" max="4" width="31.44140625" customWidth="1"/>
    <col min="5" max="5" width="46.88671875" customWidth="1"/>
    <col min="6" max="6" width="37.5546875" bestFit="1" customWidth="1"/>
    <col min="7" max="7" width="33.88671875" customWidth="1"/>
    <col min="8" max="8" width="34.44140625" customWidth="1"/>
    <col min="9" max="9" width="22" customWidth="1"/>
    <col min="10" max="10" width="37.44140625" bestFit="1" customWidth="1"/>
    <col min="11" max="11" width="3.109375" customWidth="1"/>
    <col min="12" max="12" width="3.6640625" customWidth="1"/>
  </cols>
  <sheetData>
    <row r="1" spans="2:11" ht="25.8" x14ac:dyDescent="0.3">
      <c r="B1" s="1"/>
      <c r="C1" s="35" t="s">
        <v>5</v>
      </c>
      <c r="D1" s="36"/>
      <c r="E1" s="36"/>
      <c r="F1" s="36"/>
      <c r="G1" s="36"/>
      <c r="H1" s="36"/>
      <c r="I1" s="36"/>
      <c r="J1" s="36"/>
      <c r="K1" s="2"/>
    </row>
    <row r="2" spans="2:11" s="7" customFormat="1" ht="25.8" x14ac:dyDescent="0.3">
      <c r="B2" s="3"/>
      <c r="C2" s="4"/>
      <c r="D2" s="5"/>
      <c r="E2" s="5"/>
      <c r="F2" s="5"/>
      <c r="G2" s="5"/>
      <c r="H2" s="5"/>
      <c r="I2" s="5"/>
      <c r="J2" s="5"/>
      <c r="K2" s="6"/>
    </row>
    <row r="3" spans="2:11" x14ac:dyDescent="0.3">
      <c r="B3" s="8"/>
      <c r="C3" s="33" t="s">
        <v>6</v>
      </c>
      <c r="D3" s="33"/>
      <c r="E3" s="33"/>
      <c r="F3" s="34" t="s">
        <v>116</v>
      </c>
      <c r="G3" s="34"/>
      <c r="H3" s="34"/>
      <c r="I3" s="15" t="s">
        <v>7</v>
      </c>
      <c r="J3" s="9">
        <f>COUNT(Table120[SL.NO])</f>
        <v>13</v>
      </c>
      <c r="K3" s="10"/>
    </row>
    <row r="4" spans="2:11" x14ac:dyDescent="0.3">
      <c r="B4" s="8"/>
      <c r="C4" s="33" t="s">
        <v>8</v>
      </c>
      <c r="D4" s="33"/>
      <c r="E4" s="33"/>
      <c r="F4" s="34">
        <v>1</v>
      </c>
      <c r="G4" s="34"/>
      <c r="H4" s="34"/>
      <c r="I4" s="15" t="s">
        <v>9</v>
      </c>
      <c r="J4" s="25">
        <f>COUNTIF(Table120[[STATUS ]],"PASSED")</f>
        <v>13</v>
      </c>
      <c r="K4" s="10"/>
    </row>
    <row r="5" spans="2:11" x14ac:dyDescent="0.3">
      <c r="B5" s="8"/>
      <c r="C5" s="33" t="s">
        <v>10</v>
      </c>
      <c r="D5" s="33"/>
      <c r="E5" s="33"/>
      <c r="F5" s="34" t="s">
        <v>11</v>
      </c>
      <c r="G5" s="34"/>
      <c r="H5" s="34"/>
      <c r="I5" s="15" t="s">
        <v>12</v>
      </c>
      <c r="J5" s="9">
        <f>COUNTIF(Table120[[STATUS ]],"FAILED")</f>
        <v>0</v>
      </c>
      <c r="K5" s="10"/>
    </row>
    <row r="6" spans="2:11" x14ac:dyDescent="0.3">
      <c r="B6" s="8"/>
      <c r="C6" s="33" t="s">
        <v>13</v>
      </c>
      <c r="D6" s="33"/>
      <c r="E6" s="33"/>
      <c r="F6" s="34" t="s">
        <v>14</v>
      </c>
      <c r="G6" s="34"/>
      <c r="H6" s="34"/>
      <c r="I6" s="15" t="s">
        <v>15</v>
      </c>
      <c r="J6" s="9">
        <f>COUNTIF(Table120[[STATUS ]],"SKIPPED")</f>
        <v>0</v>
      </c>
      <c r="K6" s="10"/>
    </row>
    <row r="7" spans="2:11" x14ac:dyDescent="0.3">
      <c r="B7" s="8"/>
      <c r="K7" s="10"/>
    </row>
    <row r="8" spans="2:11" x14ac:dyDescent="0.3">
      <c r="B8" s="8"/>
      <c r="K8" s="10"/>
    </row>
    <row r="9" spans="2:11" x14ac:dyDescent="0.3">
      <c r="B9" s="8"/>
      <c r="C9" s="16" t="s">
        <v>16</v>
      </c>
      <c r="D9" s="16" t="s">
        <v>17</v>
      </c>
      <c r="E9" s="16" t="s">
        <v>18</v>
      </c>
      <c r="F9" s="16" t="s">
        <v>19</v>
      </c>
      <c r="G9" s="16" t="s">
        <v>20</v>
      </c>
      <c r="H9" s="16" t="s">
        <v>21</v>
      </c>
      <c r="I9" s="16" t="s">
        <v>22</v>
      </c>
      <c r="J9" s="16" t="s">
        <v>23</v>
      </c>
      <c r="K9" s="10"/>
    </row>
    <row r="10" spans="2:11" x14ac:dyDescent="0.3">
      <c r="B10" s="8"/>
      <c r="K10" s="10"/>
    </row>
    <row r="11" spans="2:11" s="24" customFormat="1" ht="75" customHeight="1" x14ac:dyDescent="0.3">
      <c r="B11" s="26"/>
      <c r="C11" s="24">
        <v>1</v>
      </c>
      <c r="D11" s="32" t="s">
        <v>27</v>
      </c>
      <c r="E11" s="30" t="s">
        <v>28</v>
      </c>
      <c r="F11" s="30" t="s">
        <v>29</v>
      </c>
      <c r="G11" s="30" t="s">
        <v>30</v>
      </c>
      <c r="H11" s="30" t="s">
        <v>31</v>
      </c>
      <c r="I11" s="24" t="s">
        <v>9</v>
      </c>
      <c r="J11" s="30" t="s">
        <v>33</v>
      </c>
      <c r="K11" s="27"/>
    </row>
    <row r="12" spans="2:11" s="24" customFormat="1" ht="74.25" customHeight="1" x14ac:dyDescent="0.3">
      <c r="B12" s="26"/>
      <c r="C12" s="24">
        <v>2</v>
      </c>
      <c r="D12" t="s">
        <v>34</v>
      </c>
      <c r="E12" t="s">
        <v>35</v>
      </c>
      <c r="F12" t="s">
        <v>36</v>
      </c>
      <c r="G12" t="s">
        <v>37</v>
      </c>
      <c r="H12" t="s">
        <v>38</v>
      </c>
      <c r="I12" s="24" t="s">
        <v>9</v>
      </c>
      <c r="J12" s="24" t="s">
        <v>39</v>
      </c>
      <c r="K12" s="27"/>
    </row>
    <row r="13" spans="2:11" s="24" customFormat="1" ht="54.75" customHeight="1" x14ac:dyDescent="0.3">
      <c r="B13" s="26"/>
      <c r="C13" s="28">
        <v>3</v>
      </c>
      <c r="D13" s="24" t="s">
        <v>40</v>
      </c>
      <c r="E13" t="s">
        <v>41</v>
      </c>
      <c r="F13" t="s">
        <v>42</v>
      </c>
      <c r="G13" t="s">
        <v>43</v>
      </c>
      <c r="H13" t="s">
        <v>44</v>
      </c>
      <c r="I13" s="24" t="s">
        <v>9</v>
      </c>
      <c r="J13" t="s">
        <v>45</v>
      </c>
      <c r="K13" s="27"/>
    </row>
    <row r="14" spans="2:11" s="24" customFormat="1" ht="82.5" customHeight="1" x14ac:dyDescent="0.3">
      <c r="B14" s="26"/>
      <c r="C14" s="24">
        <v>4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s="24" t="s">
        <v>9</v>
      </c>
      <c r="J14" t="s">
        <v>51</v>
      </c>
      <c r="K14" s="27"/>
    </row>
    <row r="15" spans="2:11" s="24" customFormat="1" ht="54.75" customHeight="1" x14ac:dyDescent="0.3">
      <c r="B15" s="26"/>
      <c r="C15" s="24">
        <v>5</v>
      </c>
      <c r="D15" s="24" t="s">
        <v>52</v>
      </c>
      <c r="E15" t="s">
        <v>53</v>
      </c>
      <c r="F15" t="s">
        <v>54</v>
      </c>
      <c r="G15" t="s">
        <v>55</v>
      </c>
      <c r="H15" t="s">
        <v>56</v>
      </c>
      <c r="I15" s="24" t="s">
        <v>9</v>
      </c>
      <c r="J15" s="24" t="s">
        <v>57</v>
      </c>
      <c r="K15" s="27"/>
    </row>
    <row r="16" spans="2:11" s="24" customFormat="1" ht="60" customHeight="1" x14ac:dyDescent="0.3">
      <c r="B16" s="26"/>
      <c r="C16" s="24">
        <v>6</v>
      </c>
      <c r="D16" t="s">
        <v>58</v>
      </c>
      <c r="E16" s="24" t="s">
        <v>59</v>
      </c>
      <c r="F16" t="s">
        <v>54</v>
      </c>
      <c r="G16" t="s">
        <v>60</v>
      </c>
      <c r="H16" t="s">
        <v>61</v>
      </c>
      <c r="I16" s="24" t="s">
        <v>9</v>
      </c>
      <c r="J16" s="24" t="s">
        <v>115</v>
      </c>
      <c r="K16" s="27"/>
    </row>
    <row r="17" spans="2:11" s="24" customFormat="1" x14ac:dyDescent="0.3">
      <c r="B17" s="26"/>
      <c r="C17" s="24">
        <v>7</v>
      </c>
      <c r="D17" s="24" t="s">
        <v>63</v>
      </c>
      <c r="E17" t="s">
        <v>64</v>
      </c>
      <c r="F17" t="s">
        <v>65</v>
      </c>
      <c r="G17" t="s">
        <v>66</v>
      </c>
      <c r="H17" t="s">
        <v>67</v>
      </c>
      <c r="I17" s="24" t="s">
        <v>9</v>
      </c>
      <c r="J17" t="s">
        <v>68</v>
      </c>
      <c r="K17" s="27"/>
    </row>
    <row r="18" spans="2:11" s="24" customFormat="1" ht="80.25" customHeight="1" x14ac:dyDescent="0.3">
      <c r="B18" s="26"/>
      <c r="C18" s="24">
        <v>8</v>
      </c>
      <c r="D18" t="s">
        <v>69</v>
      </c>
      <c r="E18" t="s">
        <v>70</v>
      </c>
      <c r="F18" t="s">
        <v>65</v>
      </c>
      <c r="G18" t="s">
        <v>71</v>
      </c>
      <c r="H18" t="s">
        <v>72</v>
      </c>
      <c r="I18" s="24" t="s">
        <v>9</v>
      </c>
      <c r="J18" t="s">
        <v>73</v>
      </c>
      <c r="K18" s="27"/>
    </row>
    <row r="19" spans="2:11" s="24" customFormat="1" ht="88.5" customHeight="1" x14ac:dyDescent="0.3">
      <c r="B19" s="26"/>
      <c r="C19" s="24">
        <v>9</v>
      </c>
      <c r="D19" t="s">
        <v>74</v>
      </c>
      <c r="E19" t="s">
        <v>75</v>
      </c>
      <c r="F19" t="s">
        <v>76</v>
      </c>
      <c r="G19" t="s">
        <v>61</v>
      </c>
      <c r="H19" t="s">
        <v>77</v>
      </c>
      <c r="I19" s="24" t="s">
        <v>9</v>
      </c>
      <c r="J19" t="s">
        <v>78</v>
      </c>
      <c r="K19" s="27"/>
    </row>
    <row r="20" spans="2:11" s="24" customFormat="1" ht="75.75" customHeight="1" x14ac:dyDescent="0.3">
      <c r="B20" s="26"/>
      <c r="C20" s="24">
        <v>10</v>
      </c>
      <c r="D20" t="s">
        <v>79</v>
      </c>
      <c r="E20" t="s">
        <v>80</v>
      </c>
      <c r="F20" t="s">
        <v>81</v>
      </c>
      <c r="G20" t="s">
        <v>82</v>
      </c>
      <c r="H20" t="s">
        <v>83</v>
      </c>
      <c r="I20" s="24" t="s">
        <v>9</v>
      </c>
      <c r="J20" s="24" t="s">
        <v>84</v>
      </c>
      <c r="K20" s="27"/>
    </row>
    <row r="21" spans="2:11" s="24" customFormat="1" ht="146.25" customHeight="1" x14ac:dyDescent="0.3">
      <c r="B21" s="26"/>
      <c r="C21" s="24">
        <v>11</v>
      </c>
      <c r="D21" t="s">
        <v>85</v>
      </c>
      <c r="E21" t="s">
        <v>86</v>
      </c>
      <c r="F21" t="s">
        <v>87</v>
      </c>
      <c r="G21" t="s">
        <v>88</v>
      </c>
      <c r="H21" t="s">
        <v>67</v>
      </c>
      <c r="I21" s="24" t="s">
        <v>9</v>
      </c>
      <c r="J21" t="s">
        <v>89</v>
      </c>
      <c r="K21" s="27"/>
    </row>
    <row r="22" spans="2:11" x14ac:dyDescent="0.3">
      <c r="B22" s="8"/>
      <c r="C22" s="23">
        <v>12</v>
      </c>
      <c r="D22" t="s">
        <v>90</v>
      </c>
      <c r="E22" t="s">
        <v>91</v>
      </c>
      <c r="F22" t="s">
        <v>92</v>
      </c>
      <c r="G22" t="s">
        <v>94</v>
      </c>
      <c r="H22" t="s">
        <v>94</v>
      </c>
      <c r="I22" s="23" t="s">
        <v>9</v>
      </c>
      <c r="J22" s="23" t="s">
        <v>95</v>
      </c>
      <c r="K22" s="10"/>
    </row>
    <row r="23" spans="2:11" x14ac:dyDescent="0.3">
      <c r="B23" s="8"/>
      <c r="C23" s="23">
        <v>13</v>
      </c>
      <c r="D23" t="s">
        <v>96</v>
      </c>
      <c r="E23" t="s">
        <v>97</v>
      </c>
      <c r="F23" t="s">
        <v>98</v>
      </c>
      <c r="G23" t="s">
        <v>99</v>
      </c>
      <c r="H23" t="s">
        <v>100</v>
      </c>
      <c r="I23" s="23" t="s">
        <v>9</v>
      </c>
      <c r="J23" t="s">
        <v>101</v>
      </c>
      <c r="K23" s="10"/>
    </row>
    <row r="24" spans="2:11" ht="15" thickBot="1" x14ac:dyDescent="0.35">
      <c r="B24" s="12"/>
      <c r="C24" s="13"/>
      <c r="D24" s="13"/>
      <c r="E24" s="13"/>
      <c r="F24" s="13"/>
      <c r="G24" s="13"/>
      <c r="H24" s="13"/>
      <c r="I24" s="13"/>
      <c r="J24" s="13"/>
      <c r="K24" s="14"/>
    </row>
  </sheetData>
  <mergeCells count="9">
    <mergeCell ref="C6:E6"/>
    <mergeCell ref="F6:H6"/>
    <mergeCell ref="C1:J1"/>
    <mergeCell ref="C3:E3"/>
    <mergeCell ref="F3:H3"/>
    <mergeCell ref="C4:E4"/>
    <mergeCell ref="F4:H4"/>
    <mergeCell ref="C5:E5"/>
    <mergeCell ref="F5:H5"/>
  </mergeCells>
  <phoneticPr fontId="7" type="noConversion"/>
  <dataValidations count="1">
    <dataValidation type="list" allowBlank="1" showInputMessage="1" showErrorMessage="1" sqref="I10:I23" xr:uid="{6423CF44-B117-6A49-8B87-187F1B9614EB}">
      <formula1>"PASSED, FAILED, SKIPPED"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4CB1-5C25-4875-817E-83B67694DC39}">
  <dimension ref="A1:H17"/>
  <sheetViews>
    <sheetView workbookViewId="0">
      <selection activeCell="I2" sqref="I2"/>
    </sheetView>
  </sheetViews>
  <sheetFormatPr defaultRowHeight="14.4" x14ac:dyDescent="0.3"/>
  <cols>
    <col min="1" max="1" width="6.109375" bestFit="1" customWidth="1"/>
    <col min="2" max="2" width="16.109375" customWidth="1"/>
    <col min="3" max="3" width="15.33203125" customWidth="1"/>
    <col min="4" max="4" width="16" customWidth="1"/>
    <col min="5" max="5" width="15.21875" customWidth="1"/>
    <col min="6" max="6" width="13.44140625" customWidth="1"/>
    <col min="7" max="7" width="12.109375" customWidth="1"/>
    <col min="8" max="8" width="13.33203125" customWidth="1"/>
  </cols>
  <sheetData>
    <row r="1" spans="1:8" ht="43.2" x14ac:dyDescent="0.3">
      <c r="A1" s="31" t="s">
        <v>16</v>
      </c>
      <c r="B1" s="31" t="s">
        <v>17</v>
      </c>
      <c r="C1" s="31" t="s">
        <v>18</v>
      </c>
      <c r="D1" s="31" t="s">
        <v>19</v>
      </c>
      <c r="E1" s="31" t="s">
        <v>20</v>
      </c>
      <c r="F1" s="31" t="s">
        <v>21</v>
      </c>
      <c r="G1" s="31" t="s">
        <v>26</v>
      </c>
      <c r="H1" s="31" t="s">
        <v>23</v>
      </c>
    </row>
    <row r="2" spans="1:8" ht="57.6" x14ac:dyDescent="0.3">
      <c r="A2" s="24">
        <v>1</v>
      </c>
      <c r="B2" s="24" t="s">
        <v>27</v>
      </c>
      <c r="C2" s="24" t="s">
        <v>28</v>
      </c>
      <c r="D2" s="24" t="s">
        <v>29</v>
      </c>
      <c r="E2" s="24" t="s">
        <v>30</v>
      </c>
      <c r="F2" s="24" t="s">
        <v>31</v>
      </c>
      <c r="G2" s="24" t="s">
        <v>32</v>
      </c>
      <c r="H2" s="24" t="s">
        <v>33</v>
      </c>
    </row>
    <row r="3" spans="1:8" ht="43.2" x14ac:dyDescent="0.3">
      <c r="A3" s="24">
        <v>2</v>
      </c>
      <c r="B3" s="24" t="s">
        <v>34</v>
      </c>
      <c r="C3" s="24" t="s">
        <v>35</v>
      </c>
      <c r="D3" s="24" t="s">
        <v>36</v>
      </c>
      <c r="E3" s="24" t="s">
        <v>37</v>
      </c>
      <c r="F3" s="24" t="s">
        <v>38</v>
      </c>
      <c r="G3" s="24" t="s">
        <v>32</v>
      </c>
      <c r="H3" s="24" t="s">
        <v>39</v>
      </c>
    </row>
    <row r="4" spans="1:8" ht="57.6" x14ac:dyDescent="0.3">
      <c r="A4" s="24">
        <v>3</v>
      </c>
      <c r="B4" s="24" t="s">
        <v>40</v>
      </c>
      <c r="C4" s="24" t="s">
        <v>41</v>
      </c>
      <c r="D4" s="24" t="s">
        <v>42</v>
      </c>
      <c r="E4" s="24" t="s">
        <v>43</v>
      </c>
      <c r="F4" s="24" t="s">
        <v>44</v>
      </c>
      <c r="G4" s="24" t="s">
        <v>32</v>
      </c>
      <c r="H4" s="24" t="s">
        <v>45</v>
      </c>
    </row>
    <row r="5" spans="1:8" ht="43.2" x14ac:dyDescent="0.3">
      <c r="A5" s="24">
        <v>4</v>
      </c>
      <c r="B5" s="24" t="s">
        <v>46</v>
      </c>
      <c r="C5" s="24" t="s">
        <v>47</v>
      </c>
      <c r="D5" s="24" t="s">
        <v>48</v>
      </c>
      <c r="E5" s="24" t="s">
        <v>49</v>
      </c>
      <c r="F5" s="24" t="s">
        <v>50</v>
      </c>
      <c r="G5" s="24" t="s">
        <v>32</v>
      </c>
      <c r="H5" s="24" t="s">
        <v>51</v>
      </c>
    </row>
    <row r="6" spans="1:8" ht="57.6" x14ac:dyDescent="0.3">
      <c r="A6" s="24">
        <v>5</v>
      </c>
      <c r="B6" s="24" t="s">
        <v>52</v>
      </c>
      <c r="C6" s="24" t="s">
        <v>53</v>
      </c>
      <c r="D6" s="24" t="s">
        <v>54</v>
      </c>
      <c r="E6" s="24" t="s">
        <v>55</v>
      </c>
      <c r="F6" s="24" t="s">
        <v>56</v>
      </c>
      <c r="G6" s="24" t="s">
        <v>32</v>
      </c>
      <c r="H6" s="24" t="s">
        <v>57</v>
      </c>
    </row>
    <row r="7" spans="1:8" ht="43.2" x14ac:dyDescent="0.3">
      <c r="A7" s="24">
        <v>6</v>
      </c>
      <c r="B7" s="24" t="s">
        <v>58</v>
      </c>
      <c r="C7" s="24" t="s">
        <v>59</v>
      </c>
      <c r="D7" s="24" t="s">
        <v>54</v>
      </c>
      <c r="E7" s="24" t="s">
        <v>60</v>
      </c>
      <c r="F7" s="24" t="s">
        <v>61</v>
      </c>
      <c r="G7" s="24" t="s">
        <v>32</v>
      </c>
      <c r="H7" s="24" t="s">
        <v>62</v>
      </c>
    </row>
    <row r="8" spans="1:8" ht="57.6" x14ac:dyDescent="0.3">
      <c r="A8" s="24">
        <v>7</v>
      </c>
      <c r="B8" s="24" t="s">
        <v>63</v>
      </c>
      <c r="C8" s="24" t="s">
        <v>64</v>
      </c>
      <c r="D8" s="24" t="s">
        <v>65</v>
      </c>
      <c r="E8" s="24" t="s">
        <v>66</v>
      </c>
      <c r="F8" s="24" t="s">
        <v>67</v>
      </c>
      <c r="G8" s="24" t="s">
        <v>32</v>
      </c>
      <c r="H8" s="24" t="s">
        <v>68</v>
      </c>
    </row>
    <row r="9" spans="1:8" ht="57.6" x14ac:dyDescent="0.3">
      <c r="A9" s="24">
        <v>8</v>
      </c>
      <c r="B9" s="24" t="s">
        <v>69</v>
      </c>
      <c r="C9" s="24" t="s">
        <v>70</v>
      </c>
      <c r="D9" s="24" t="s">
        <v>65</v>
      </c>
      <c r="E9" s="24" t="s">
        <v>71</v>
      </c>
      <c r="F9" s="24" t="s">
        <v>72</v>
      </c>
      <c r="G9" s="24" t="s">
        <v>32</v>
      </c>
      <c r="H9" s="24" t="s">
        <v>73</v>
      </c>
    </row>
    <row r="10" spans="1:8" ht="57.6" x14ac:dyDescent="0.3">
      <c r="A10" s="24">
        <v>9</v>
      </c>
      <c r="B10" s="24" t="s">
        <v>74</v>
      </c>
      <c r="C10" s="24" t="s">
        <v>75</v>
      </c>
      <c r="D10" s="24" t="s">
        <v>76</v>
      </c>
      <c r="E10" s="24" t="s">
        <v>61</v>
      </c>
      <c r="F10" s="24" t="s">
        <v>77</v>
      </c>
      <c r="G10" s="24" t="s">
        <v>32</v>
      </c>
      <c r="H10" s="24" t="s">
        <v>78</v>
      </c>
    </row>
    <row r="11" spans="1:8" ht="43.2" x14ac:dyDescent="0.3">
      <c r="A11" s="24">
        <v>10</v>
      </c>
      <c r="B11" s="24" t="s">
        <v>79</v>
      </c>
      <c r="C11" s="24" t="s">
        <v>80</v>
      </c>
      <c r="D11" s="24" t="s">
        <v>81</v>
      </c>
      <c r="E11" s="24" t="s">
        <v>82</v>
      </c>
      <c r="F11" s="24" t="s">
        <v>83</v>
      </c>
      <c r="G11" s="24" t="s">
        <v>32</v>
      </c>
      <c r="H11" s="24" t="s">
        <v>84</v>
      </c>
    </row>
    <row r="12" spans="1:8" ht="57.6" x14ac:dyDescent="0.3">
      <c r="A12" s="24">
        <v>11</v>
      </c>
      <c r="B12" s="24" t="s">
        <v>85</v>
      </c>
      <c r="C12" s="24" t="s">
        <v>86</v>
      </c>
      <c r="D12" s="24" t="s">
        <v>87</v>
      </c>
      <c r="E12" s="24" t="s">
        <v>88</v>
      </c>
      <c r="F12" s="24" t="s">
        <v>67</v>
      </c>
      <c r="G12" s="24" t="s">
        <v>32</v>
      </c>
      <c r="H12" s="24" t="s">
        <v>89</v>
      </c>
    </row>
    <row r="13" spans="1:8" ht="57.6" x14ac:dyDescent="0.3">
      <c r="A13" s="24">
        <v>12</v>
      </c>
      <c r="B13" s="24" t="s">
        <v>90</v>
      </c>
      <c r="C13" s="24" t="s">
        <v>91</v>
      </c>
      <c r="D13" s="24" t="s">
        <v>92</v>
      </c>
      <c r="E13" s="24" t="s">
        <v>93</v>
      </c>
      <c r="F13" s="24" t="s">
        <v>94</v>
      </c>
      <c r="G13" s="24" t="s">
        <v>32</v>
      </c>
      <c r="H13" s="24" t="s">
        <v>95</v>
      </c>
    </row>
    <row r="14" spans="1:8" ht="57.6" x14ac:dyDescent="0.3">
      <c r="A14" s="24">
        <v>13</v>
      </c>
      <c r="B14" s="24" t="s">
        <v>96</v>
      </c>
      <c r="C14" s="24" t="s">
        <v>97</v>
      </c>
      <c r="D14" s="24" t="s">
        <v>98</v>
      </c>
      <c r="E14" s="24" t="s">
        <v>99</v>
      </c>
      <c r="F14" s="24" t="s">
        <v>100</v>
      </c>
      <c r="G14" s="24" t="s">
        <v>32</v>
      </c>
      <c r="H14" s="24" t="s">
        <v>101</v>
      </c>
    </row>
    <row r="15" spans="1:8" ht="57.6" x14ac:dyDescent="0.3">
      <c r="A15" s="24">
        <v>14</v>
      </c>
      <c r="B15" s="24" t="s">
        <v>102</v>
      </c>
      <c r="C15" s="24" t="s">
        <v>103</v>
      </c>
      <c r="D15" s="24" t="s">
        <v>92</v>
      </c>
      <c r="E15" s="24" t="s">
        <v>104</v>
      </c>
      <c r="F15" s="24" t="s">
        <v>105</v>
      </c>
      <c r="G15" s="24" t="s">
        <v>32</v>
      </c>
      <c r="H15" s="24" t="s">
        <v>106</v>
      </c>
    </row>
    <row r="16" spans="1:8" ht="43.2" x14ac:dyDescent="0.3">
      <c r="A16" s="24">
        <v>15</v>
      </c>
      <c r="B16" s="24" t="s">
        <v>107</v>
      </c>
      <c r="C16" s="24" t="s">
        <v>108</v>
      </c>
      <c r="D16" s="24" t="s">
        <v>92</v>
      </c>
      <c r="E16" s="24" t="s">
        <v>109</v>
      </c>
      <c r="F16" s="24" t="s">
        <v>110</v>
      </c>
      <c r="G16" s="24" t="s">
        <v>32</v>
      </c>
      <c r="H16" s="24" t="s">
        <v>111</v>
      </c>
    </row>
    <row r="17" spans="1:8" ht="57.6" x14ac:dyDescent="0.3">
      <c r="A17" s="24">
        <v>16</v>
      </c>
      <c r="B17" s="24" t="s">
        <v>112</v>
      </c>
      <c r="C17" s="24" t="s">
        <v>113</v>
      </c>
      <c r="D17" s="24" t="s">
        <v>92</v>
      </c>
      <c r="E17" s="24" t="s">
        <v>55</v>
      </c>
      <c r="F17" s="24" t="s">
        <v>56</v>
      </c>
      <c r="G17" s="24" t="s">
        <v>32</v>
      </c>
      <c r="H17" s="24" t="s">
        <v>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1A4D081E66024B8E1512D3094C3B08" ma:contentTypeVersion="15" ma:contentTypeDescription="Create a new document." ma:contentTypeScope="" ma:versionID="5e685aa33ef0eeb90774aa42d474595a">
  <xsd:schema xmlns:xsd="http://www.w3.org/2001/XMLSchema" xmlns:xs="http://www.w3.org/2001/XMLSchema" xmlns:p="http://schemas.microsoft.com/office/2006/metadata/properties" xmlns:ns2="ce320b12-d590-4005-9d51-304c9b20c4b2" xmlns:ns3="7cf18b58-3901-44ff-9636-ac55513c4f63" targetNamespace="http://schemas.microsoft.com/office/2006/metadata/properties" ma:root="true" ma:fieldsID="c3d47fb15d2ebe55ba2ed0939c411729" ns2:_="" ns3:_="">
    <xsd:import namespace="ce320b12-d590-4005-9d51-304c9b20c4b2"/>
    <xsd:import namespace="7cf18b58-3901-44ff-9636-ac55513c4f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20b12-d590-4005-9d51-304c9b20c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18b58-3901-44ff-9636-ac55513c4f6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320b12-d590-4005-9d51-304c9b20c4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8FCAD9-77A3-44E3-915C-D4AA0E8397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02DA76-BC3C-4E7F-B49C-A4BA49AB6F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20b12-d590-4005-9d51-304c9b20c4b2"/>
    <ds:schemaRef ds:uri="7cf18b58-3901-44ff-9636-ac55513c4f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91E45A-FA5E-4A14-A6E2-317B7BB65716}">
  <ds:schemaRefs>
    <ds:schemaRef ds:uri="http://schemas.microsoft.com/office/2006/metadata/properties"/>
    <ds:schemaRef ds:uri="http://schemas.microsoft.com/office/infopath/2007/PartnerControls"/>
    <ds:schemaRef ds:uri="ce320b12-d590-4005-9d51-304c9b20c4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TRACEABILITY MATRIX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Rashid Patel</cp:lastModifiedBy>
  <cp:revision/>
  <dcterms:created xsi:type="dcterms:W3CDTF">2023-08-18T02:43:40Z</dcterms:created>
  <dcterms:modified xsi:type="dcterms:W3CDTF">2026-05-07T06:51:16Z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0x010100E61A4D081E66024B8E1512D3094C3B08</vt:lpwstr>
  </property>
  <property fmtid="{D5CDD505-2E9C-101B-9397-08002B2CF9AE}" pid="3" name="MediaServiceImageTags">
    <vt:lpwstr/>
  </property>
</Properties>
</file>